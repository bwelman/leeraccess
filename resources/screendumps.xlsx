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udieboeken\leeraccess\resources\"/>
    </mc:Choice>
  </mc:AlternateContent>
  <xr:revisionPtr revIDLastSave="0" documentId="13_ncr:1_{3877E154-9615-4E05-89D1-C38C28E363F7}" xr6:coauthVersionLast="47" xr6:coauthVersionMax="47" xr10:uidLastSave="{00000000-0000-0000-0000-000000000000}"/>
  <bookViews>
    <workbookView xWindow="-30828" yWindow="-2916" windowWidth="30936" windowHeight="16776" activeTab="10" xr2:uid="{0EEA2C8F-1533-4CB3-A1A3-A24A2863F819}"/>
  </bookViews>
  <sheets>
    <sheet name="Verschoor" sheetId="1" r:id="rId1"/>
    <sheet name="animal_clinic" sheetId="2" r:id="rId2"/>
    <sheet name="norm001" sheetId="3" r:id="rId3"/>
    <sheet name="norm003" sheetId="4" r:id="rId4"/>
    <sheet name="norm004" sheetId="5" r:id="rId5"/>
    <sheet name="norm006" sheetId="6" r:id="rId6"/>
    <sheet name="norm010" sheetId="7" r:id="rId7"/>
    <sheet name="norm011" sheetId="8" r:id="rId8"/>
    <sheet name="norm012" sheetId="9" r:id="rId9"/>
    <sheet name="norm013" sheetId="10" r:id="rId10"/>
    <sheet name="norm014" sheetId="11" r:id="rId11"/>
    <sheet name="norm016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11" l="1"/>
  <c r="G20" i="11"/>
  <c r="G16" i="11"/>
  <c r="G17" i="11"/>
  <c r="G18" i="11"/>
  <c r="G19" i="11"/>
  <c r="G15" i="11"/>
  <c r="F18" i="10"/>
  <c r="F17" i="10"/>
  <c r="F16" i="10"/>
  <c r="F14" i="10"/>
  <c r="H14" i="10" s="1"/>
  <c r="F15" i="10"/>
  <c r="H15" i="10" s="1"/>
  <c r="F13" i="10"/>
  <c r="H13" i="10" s="1"/>
  <c r="G17" i="9"/>
  <c r="E15" i="8"/>
  <c r="F14" i="1"/>
  <c r="F13" i="1"/>
  <c r="F16" i="1" s="1"/>
  <c r="F18" i="1" s="1"/>
  <c r="F19" i="1" l="1"/>
  <c r="F20" i="1" s="1"/>
</calcChain>
</file>

<file path=xl/sharedStrings.xml><?xml version="1.0" encoding="utf-8"?>
<sst xmlns="http://schemas.openxmlformats.org/spreadsheetml/2006/main" count="340" uniqueCount="246">
  <si>
    <t>Artikelnr</t>
  </si>
  <si>
    <t>Artikelomschrijving</t>
  </si>
  <si>
    <t>Video PH 1204</t>
  </si>
  <si>
    <t>KTV Sanyo 3003</t>
  </si>
  <si>
    <t>Aantal</t>
  </si>
  <si>
    <t>Prijs</t>
  </si>
  <si>
    <t>Bedrag</t>
  </si>
  <si>
    <t>Subtotaal:</t>
  </si>
  <si>
    <t>Korting</t>
  </si>
  <si>
    <t>Totaal excl. BTW</t>
  </si>
  <si>
    <t>BTW</t>
  </si>
  <si>
    <t>Totaal incl. BTW</t>
  </si>
  <si>
    <t>Telefoon:</t>
  </si>
  <si>
    <t>0343876534</t>
  </si>
  <si>
    <t>3438 PP  Houten</t>
  </si>
  <si>
    <t>Adres:</t>
  </si>
  <si>
    <t>Aardbei 34</t>
  </si>
  <si>
    <t>Klantnaam:</t>
  </si>
  <si>
    <t>Arends R.</t>
  </si>
  <si>
    <t>Verschoor Groothandel</t>
  </si>
  <si>
    <t>Postcode + Plaats:</t>
  </si>
  <si>
    <t>Muntstraat 15</t>
  </si>
  <si>
    <t>3434 HG Nieuwegein</t>
  </si>
  <si>
    <t>Factuurcode:</t>
  </si>
  <si>
    <t>10000 POY</t>
  </si>
  <si>
    <t>Datum</t>
  </si>
  <si>
    <t>diernr</t>
  </si>
  <si>
    <t>diernaam</t>
  </si>
  <si>
    <t>diertype</t>
  </si>
  <si>
    <t>leeftijd</t>
  </si>
  <si>
    <t>eigenaar</t>
  </si>
  <si>
    <t>bezoekdatum</t>
  </si>
  <si>
    <t>behandeling</t>
  </si>
  <si>
    <t>Billie</t>
  </si>
  <si>
    <t>Hond</t>
  </si>
  <si>
    <t>Lisa Saunders</t>
  </si>
  <si>
    <t>03 - Rabiës vaccinatie</t>
  </si>
  <si>
    <t>10 - Wondbehandeling</t>
  </si>
  <si>
    <t>22- Hartworm test</t>
  </si>
  <si>
    <t>Dago</t>
  </si>
  <si>
    <t>Anthony Jacobs</t>
  </si>
  <si>
    <t>04 - Tetanus vaccinatie</t>
  </si>
  <si>
    <t>05 - Hartworm test</t>
  </si>
  <si>
    <t>Nicky</t>
  </si>
  <si>
    <t>Kat</t>
  </si>
  <si>
    <t>Lorre</t>
  </si>
  <si>
    <t>Vogel</t>
  </si>
  <si>
    <t>21 - Jaarlijkse controle</t>
  </si>
  <si>
    <t xml:space="preserve">11 - Oogontsteking </t>
  </si>
  <si>
    <t>ordernr</t>
  </si>
  <si>
    <t>orderdatum</t>
  </si>
  <si>
    <t>klantnr</t>
  </si>
  <si>
    <t>naam</t>
  </si>
  <si>
    <t>adres</t>
  </si>
  <si>
    <t>postcode</t>
  </si>
  <si>
    <t>woonplaats</t>
  </si>
  <si>
    <t>artikelnr</t>
  </si>
  <si>
    <t>artikelnaam</t>
  </si>
  <si>
    <t>prijs</t>
  </si>
  <si>
    <t>aantal</t>
  </si>
  <si>
    <t>Does</t>
  </si>
  <si>
    <t>Appel 12</t>
  </si>
  <si>
    <t>7676 FD</t>
  </si>
  <si>
    <t>Ede</t>
  </si>
  <si>
    <t>Stoel</t>
  </si>
  <si>
    <t>Lamp</t>
  </si>
  <si>
    <t>Tafel</t>
  </si>
  <si>
    <t>werknemernr</t>
  </si>
  <si>
    <t>afdeling</t>
  </si>
  <si>
    <t>chef</t>
  </si>
  <si>
    <t>cursusnr</t>
  </si>
  <si>
    <t>cursusomschr</t>
  </si>
  <si>
    <t>cursusdatum</t>
  </si>
  <si>
    <t>Theo</t>
  </si>
  <si>
    <t>BK</t>
  </si>
  <si>
    <t>Roger</t>
  </si>
  <si>
    <t>databases</t>
  </si>
  <si>
    <t>excel</t>
  </si>
  <si>
    <t>word</t>
  </si>
  <si>
    <t>Piet</t>
  </si>
  <si>
    <t>CP</t>
  </si>
  <si>
    <t>Vicky</t>
  </si>
  <si>
    <t>powerpoint</t>
  </si>
  <si>
    <t>telnr</t>
  </si>
  <si>
    <t>kenteken</t>
  </si>
  <si>
    <t>merk</t>
  </si>
  <si>
    <t>type</t>
  </si>
  <si>
    <t>bouwjaar</t>
  </si>
  <si>
    <t>De Kalder 57</t>
  </si>
  <si>
    <t>7576 WE</t>
  </si>
  <si>
    <t>Oldenzaal</t>
  </si>
  <si>
    <t>0541-513589</t>
  </si>
  <si>
    <t>KLANT</t>
  </si>
  <si>
    <t>AUTO</t>
  </si>
  <si>
    <t>ST79BB</t>
  </si>
  <si>
    <t>08EA95</t>
  </si>
  <si>
    <t>BEURT / REPARATIE</t>
  </si>
  <si>
    <t>datum</t>
  </si>
  <si>
    <t>omschrijving</t>
  </si>
  <si>
    <t>arbeid</t>
  </si>
  <si>
    <t>materiaal</t>
  </si>
  <si>
    <t>Uitlaat vervangen</t>
  </si>
  <si>
    <t>Grote beurt</t>
  </si>
  <si>
    <t>Schokdempers achter</t>
  </si>
  <si>
    <t>Volkswagen</t>
  </si>
  <si>
    <t>Golf</t>
  </si>
  <si>
    <t>Ford</t>
  </si>
  <si>
    <t>Kuga</t>
  </si>
  <si>
    <t>F. Jansen</t>
  </si>
  <si>
    <t>Leverancier</t>
  </si>
  <si>
    <t>Mergelland BV</t>
  </si>
  <si>
    <t>Artikelnaam</t>
  </si>
  <si>
    <t>Soort</t>
  </si>
  <si>
    <t>Hand/Stoof</t>
  </si>
  <si>
    <t>Inkoopprijs</t>
  </si>
  <si>
    <t>Appel</t>
  </si>
  <si>
    <t>Hand</t>
  </si>
  <si>
    <t>Elstar</t>
  </si>
  <si>
    <t>Gieser Wildeman</t>
  </si>
  <si>
    <t>Peer</t>
  </si>
  <si>
    <t>Stoof</t>
  </si>
  <si>
    <t>Victoria</t>
  </si>
  <si>
    <t>Pruim</t>
  </si>
  <si>
    <t>Noot</t>
  </si>
  <si>
    <t>Steenstraat 23</t>
  </si>
  <si>
    <t>Betuwe BV</t>
  </si>
  <si>
    <t>Kerkstraat 321a</t>
  </si>
  <si>
    <t>Kamappel</t>
  </si>
  <si>
    <t>Conference</t>
  </si>
  <si>
    <t>Doyenne du Comice</t>
  </si>
  <si>
    <t>Brederode</t>
  </si>
  <si>
    <t>Kleipeer/Winterjan</t>
  </si>
  <si>
    <t>Achterhoek BV</t>
  </si>
  <si>
    <t>Dijkweg 21</t>
  </si>
  <si>
    <t>3445 GF  Neede</t>
  </si>
  <si>
    <t>2354 HG  Ochten</t>
  </si>
  <si>
    <t>2334 TT  Tiel</t>
  </si>
  <si>
    <t>Jonagold</t>
  </si>
  <si>
    <t>Opal</t>
  </si>
  <si>
    <t>Walnoot</t>
  </si>
  <si>
    <t>Hazelnoot</t>
  </si>
  <si>
    <t>persoonsnr</t>
  </si>
  <si>
    <t>woonplaat</t>
  </si>
  <si>
    <t>geboortedatum</t>
  </si>
  <si>
    <t>Albrecht</t>
  </si>
  <si>
    <t>Beverdam</t>
  </si>
  <si>
    <t>Beek</t>
  </si>
  <si>
    <t>Schoolstraat 26</t>
  </si>
  <si>
    <t>Alleeweg 24</t>
  </si>
  <si>
    <t>Weverstraat 5</t>
  </si>
  <si>
    <t>6512 JH</t>
  </si>
  <si>
    <t>7521 VK</t>
  </si>
  <si>
    <t>7545 TJ</t>
  </si>
  <si>
    <t>Nijmegen</t>
  </si>
  <si>
    <t>Enschede</t>
  </si>
  <si>
    <t>024-3245537</t>
  </si>
  <si>
    <t>053-4319449</t>
  </si>
  <si>
    <t>0534340962</t>
  </si>
  <si>
    <t>12/316</t>
  </si>
  <si>
    <t>52/370</t>
  </si>
  <si>
    <t>hamer</t>
  </si>
  <si>
    <t>tang</t>
  </si>
  <si>
    <t>bedrag</t>
  </si>
  <si>
    <t>Totaal</t>
  </si>
  <si>
    <t>Doe het zelf zaak D. Schone</t>
  </si>
  <si>
    <t>Inkooporder</t>
  </si>
  <si>
    <t>Naam</t>
  </si>
  <si>
    <t>Vlug &amp; Voordelig</t>
  </si>
  <si>
    <t>Industrieweg 16A</t>
  </si>
  <si>
    <t>5647 AJ  Zevenhuizen</t>
  </si>
  <si>
    <t>Gewenste leverdatum:</t>
  </si>
  <si>
    <t>Naam inkoper:</t>
  </si>
  <si>
    <t>K. Jansen</t>
  </si>
  <si>
    <t>Orderdatum:</t>
  </si>
  <si>
    <t>Ordernummer:</t>
  </si>
  <si>
    <t>Leveranciernr:</t>
  </si>
  <si>
    <t>Vrachtbrief</t>
  </si>
  <si>
    <t>Autonr:</t>
  </si>
  <si>
    <t>Laadvermogen</t>
  </si>
  <si>
    <t>plaats</t>
  </si>
  <si>
    <t>colli</t>
  </si>
  <si>
    <t>gewicht</t>
  </si>
  <si>
    <t>Berger</t>
  </si>
  <si>
    <t>Bosch</t>
  </si>
  <si>
    <t>Smink</t>
  </si>
  <si>
    <t>Pluvierstraat 19</t>
  </si>
  <si>
    <t>Helenastraat 78</t>
  </si>
  <si>
    <t>Hengelo</t>
  </si>
  <si>
    <t>Leemkuilstraat 32</t>
  </si>
  <si>
    <t>Totaal gewicht:</t>
  </si>
  <si>
    <t>Kenteken:</t>
  </si>
  <si>
    <t>Merk:</t>
  </si>
  <si>
    <t>DV-95-AK</t>
  </si>
  <si>
    <t>Scania</t>
  </si>
  <si>
    <t>Vrachtnr:</t>
  </si>
  <si>
    <t>Datum:</t>
  </si>
  <si>
    <t>Chauffeur:</t>
  </si>
  <si>
    <t>Bastiaansen</t>
  </si>
  <si>
    <t>straat</t>
  </si>
  <si>
    <t>huisnummer</t>
  </si>
  <si>
    <t>Julianastraat</t>
  </si>
  <si>
    <t>Beltstraat</t>
  </si>
  <si>
    <t>7511 KB</t>
  </si>
  <si>
    <t>7512 AB</t>
  </si>
  <si>
    <t>7511 JZ</t>
  </si>
  <si>
    <t>7553 AB</t>
  </si>
  <si>
    <t>Datarex Computer Supplies</t>
  </si>
  <si>
    <t>Passepartout</t>
  </si>
  <si>
    <t>Bestelbon</t>
  </si>
  <si>
    <t>Bonnummer:</t>
  </si>
  <si>
    <t>Adres</t>
  </si>
  <si>
    <t>Plaats</t>
  </si>
  <si>
    <t>btw code</t>
  </si>
  <si>
    <t>btw bedrag</t>
  </si>
  <si>
    <t>Desktop Home</t>
  </si>
  <si>
    <t>Desktop Professional</t>
  </si>
  <si>
    <t>Handboek</t>
  </si>
  <si>
    <t>H</t>
  </si>
  <si>
    <t>L</t>
  </si>
  <si>
    <t>Bakker, J.</t>
  </si>
  <si>
    <t>De Vecht 43</t>
  </si>
  <si>
    <t>tot. excl.</t>
  </si>
  <si>
    <t>btw</t>
  </si>
  <si>
    <t>tot. Incl.</t>
  </si>
  <si>
    <t>Klantnr:</t>
  </si>
  <si>
    <t>Voornaam:</t>
  </si>
  <si>
    <t>Achternaam:</t>
  </si>
  <si>
    <t>Plaats:</t>
  </si>
  <si>
    <t>Postcode:</t>
  </si>
  <si>
    <t>Datum uitgifte:</t>
  </si>
  <si>
    <t>titel</t>
  </si>
  <si>
    <t>theater</t>
  </si>
  <si>
    <t>Oliver</t>
  </si>
  <si>
    <t>Scenes uit een huwelijk</t>
  </si>
  <si>
    <t>Niet uit het raam</t>
  </si>
  <si>
    <t>Jan Rot, meisjes</t>
  </si>
  <si>
    <t>Comedy train</t>
  </si>
  <si>
    <t>Schouwburg</t>
  </si>
  <si>
    <t>Concordia</t>
  </si>
  <si>
    <t>Gerrit</t>
  </si>
  <si>
    <t>Zomer</t>
  </si>
  <si>
    <t>Archimedeslaan 2</t>
  </si>
  <si>
    <t>Amsterdam</t>
  </si>
  <si>
    <t>5354 ME</t>
  </si>
  <si>
    <t>020-5306704</t>
  </si>
  <si>
    <t>Pasnummer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</si>
</sst>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€&quot;\ * #,##0.00_ ;_ &quot;€&quot;\ * \-#,##0.00_ ;_ &quot;€&quot;\ * &quot;-&quot;??_ ;_ @_ "/>
    <numFmt numFmtId="164" formatCode="dd/mm/yyyy"/>
    <numFmt numFmtId="165" formatCode="dd\/mm\/yyyy"/>
    <numFmt numFmtId="166" formatCode="##\ &quot;ton&quot;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0" quotePrefix="1"/>
    <xf numFmtId="0" fontId="0" fillId="0" borderId="0" xfId="0" applyAlignment="1">
      <alignment horizontal="left"/>
    </xf>
    <xf numFmtId="14" fontId="0" fillId="0" borderId="0" xfId="0" applyNumberFormat="1"/>
    <xf numFmtId="44" fontId="0" fillId="0" borderId="1" xfId="0" applyNumberFormat="1" applyBorder="1"/>
    <xf numFmtId="0" fontId="0" fillId="0" borderId="2" xfId="0" applyBorder="1"/>
    <xf numFmtId="0" fontId="0" fillId="0" borderId="3" xfId="0" applyBorder="1" applyAlignment="1">
      <alignment horizontal="left"/>
    </xf>
    <xf numFmtId="44" fontId="0" fillId="0" borderId="3" xfId="1" applyFont="1" applyBorder="1"/>
    <xf numFmtId="44" fontId="0" fillId="0" borderId="3" xfId="0" applyNumberFormat="1" applyBorder="1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4" xfId="0" applyBorder="1"/>
    <xf numFmtId="44" fontId="0" fillId="0" borderId="4" xfId="1" applyFont="1" applyBorder="1"/>
    <xf numFmtId="0" fontId="0" fillId="0" borderId="5" xfId="0" applyBorder="1"/>
    <xf numFmtId="44" fontId="0" fillId="0" borderId="5" xfId="1" applyFont="1" applyBorder="1"/>
    <xf numFmtId="0" fontId="2" fillId="0" borderId="6" xfId="0" applyFont="1" applyBorder="1"/>
    <xf numFmtId="165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0" fontId="2" fillId="0" borderId="4" xfId="0" applyFont="1" applyBorder="1"/>
    <xf numFmtId="44" fontId="2" fillId="0" borderId="4" xfId="1" applyFont="1" applyBorder="1"/>
    <xf numFmtId="0" fontId="3" fillId="0" borderId="0" xfId="0" applyFont="1" applyAlignment="1">
      <alignment vertical="center"/>
    </xf>
    <xf numFmtId="164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6" fontId="0" fillId="0" borderId="0" xfId="0" applyNumberFormat="1" applyAlignment="1">
      <alignment horizontal="right"/>
    </xf>
    <xf numFmtId="0" fontId="2" fillId="0" borderId="6" xfId="0" applyFont="1" applyBorder="1" applyAlignment="1">
      <alignment horizontal="right"/>
    </xf>
    <xf numFmtId="0" fontId="0" fillId="0" borderId="5" xfId="0" applyBorder="1" applyAlignment="1">
      <alignment horizontal="left"/>
    </xf>
    <xf numFmtId="166" fontId="0" fillId="0" borderId="5" xfId="0" applyNumberFormat="1" applyBorder="1" applyAlignment="1">
      <alignment horizontal="right"/>
    </xf>
    <xf numFmtId="166" fontId="2" fillId="0" borderId="4" xfId="0" applyNumberFormat="1" applyFont="1" applyBorder="1" applyAlignment="1">
      <alignment horizontal="right"/>
    </xf>
    <xf numFmtId="44" fontId="0" fillId="0" borderId="4" xfId="0" applyNumberFormat="1" applyBorder="1"/>
    <xf numFmtId="44" fontId="0" fillId="0" borderId="7" xfId="0" applyNumberFormat="1" applyBorder="1"/>
    <xf numFmtId="0" fontId="2" fillId="0" borderId="0" xfId="0" applyFont="1" applyBorder="1"/>
    <xf numFmtId="0" fontId="0" fillId="0" borderId="0" xfId="0" quotePrefix="1" applyAlignment="1">
      <alignment horizontal="left"/>
    </xf>
    <xf numFmtId="14" fontId="2" fillId="0" borderId="0" xfId="0" applyNumberFormat="1" applyFont="1"/>
    <xf numFmtId="0" fontId="2" fillId="0" borderId="7" xfId="0" applyFont="1" applyBorder="1" applyAlignment="1">
      <alignment horizontal="right"/>
    </xf>
    <xf numFmtId="0" fontId="2" fillId="0" borderId="7" xfId="0" applyFont="1" applyBorder="1"/>
    <xf numFmtId="0" fontId="2" fillId="0" borderId="8" xfId="0" applyFont="1" applyBorder="1" applyAlignment="1">
      <alignment horizontal="right"/>
    </xf>
    <xf numFmtId="0" fontId="2" fillId="0" borderId="8" xfId="0" applyFont="1" applyBorder="1"/>
    <xf numFmtId="0" fontId="0" fillId="0" borderId="8" xfId="0" applyBorder="1"/>
    <xf numFmtId="44" fontId="2" fillId="0" borderId="8" xfId="0" applyNumberFormat="1" applyFont="1" applyBorder="1"/>
    <xf numFmtId="0" fontId="2" fillId="0" borderId="0" xfId="0" applyFont="1" applyAlignment="1">
      <alignment vertical="center"/>
    </xf>
  </cellXfs>
  <cellStyles count="2">
    <cellStyle name="Standaard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EAC5-D62F-4625-A9D9-F94723B90F22}">
  <dimension ref="B2:F20"/>
  <sheetViews>
    <sheetView showGridLines="0" workbookViewId="0">
      <selection activeCell="S19" sqref="S19"/>
    </sheetView>
  </sheetViews>
  <sheetFormatPr defaultRowHeight="14.4" x14ac:dyDescent="0.3"/>
  <cols>
    <col min="2" max="2" width="20.77734375" customWidth="1"/>
    <col min="3" max="3" width="16.77734375" customWidth="1"/>
    <col min="4" max="4" width="8.77734375" customWidth="1"/>
    <col min="5" max="5" width="15.77734375" customWidth="1"/>
    <col min="6" max="6" width="10.77734375" customWidth="1"/>
  </cols>
  <sheetData>
    <row r="2" spans="2:6" x14ac:dyDescent="0.3">
      <c r="B2" t="s">
        <v>19</v>
      </c>
      <c r="E2" t="s">
        <v>23</v>
      </c>
      <c r="F2" t="s">
        <v>24</v>
      </c>
    </row>
    <row r="3" spans="2:6" x14ac:dyDescent="0.3">
      <c r="B3" t="s">
        <v>21</v>
      </c>
      <c r="E3" t="s">
        <v>25</v>
      </c>
      <c r="F3" s="5">
        <v>45374</v>
      </c>
    </row>
    <row r="4" spans="2:6" x14ac:dyDescent="0.3">
      <c r="B4" t="s">
        <v>22</v>
      </c>
    </row>
    <row r="6" spans="2:6" x14ac:dyDescent="0.3">
      <c r="B6" t="s">
        <v>17</v>
      </c>
      <c r="C6" t="s">
        <v>18</v>
      </c>
    </row>
    <row r="7" spans="2:6" x14ac:dyDescent="0.3">
      <c r="B7" t="s">
        <v>15</v>
      </c>
      <c r="C7" t="s">
        <v>16</v>
      </c>
    </row>
    <row r="8" spans="2:6" x14ac:dyDescent="0.3">
      <c r="B8" t="s">
        <v>20</v>
      </c>
      <c r="C8" t="s">
        <v>14</v>
      </c>
    </row>
    <row r="9" spans="2:6" x14ac:dyDescent="0.3">
      <c r="B9" t="s">
        <v>12</v>
      </c>
      <c r="C9" s="3" t="s">
        <v>13</v>
      </c>
    </row>
    <row r="12" spans="2:6" x14ac:dyDescent="0.3">
      <c r="B12" s="7" t="s">
        <v>0</v>
      </c>
      <c r="C12" s="7" t="s">
        <v>1</v>
      </c>
      <c r="D12" s="7" t="s">
        <v>4</v>
      </c>
      <c r="E12" s="7" t="s">
        <v>5</v>
      </c>
      <c r="F12" s="7" t="s">
        <v>6</v>
      </c>
    </row>
    <row r="13" spans="2:6" x14ac:dyDescent="0.3">
      <c r="B13" s="8">
        <v>134</v>
      </c>
      <c r="C13" s="8" t="s">
        <v>2</v>
      </c>
      <c r="D13" s="8">
        <v>2</v>
      </c>
      <c r="E13" s="9">
        <v>1250</v>
      </c>
      <c r="F13" s="10">
        <f>D13*E13</f>
        <v>2500</v>
      </c>
    </row>
    <row r="14" spans="2:6" x14ac:dyDescent="0.3">
      <c r="B14" s="8">
        <v>154</v>
      </c>
      <c r="C14" s="8" t="s">
        <v>3</v>
      </c>
      <c r="D14" s="8">
        <v>3</v>
      </c>
      <c r="E14" s="9">
        <v>1200</v>
      </c>
      <c r="F14" s="10">
        <f>D14*E14</f>
        <v>3600</v>
      </c>
    </row>
    <row r="15" spans="2:6" ht="15" thickBot="1" x14ac:dyDescent="0.35">
      <c r="B15" s="4"/>
      <c r="E15" s="1"/>
      <c r="F15" s="2"/>
    </row>
    <row r="16" spans="2:6" x14ac:dyDescent="0.3">
      <c r="E16" t="s">
        <v>7</v>
      </c>
      <c r="F16" s="6">
        <f>SUM(F13:F14)</f>
        <v>6100</v>
      </c>
    </row>
    <row r="17" spans="5:6" ht="15" thickBot="1" x14ac:dyDescent="0.35">
      <c r="E17" t="s">
        <v>8</v>
      </c>
      <c r="F17" s="1">
        <v>-200</v>
      </c>
    </row>
    <row r="18" spans="5:6" x14ac:dyDescent="0.3">
      <c r="E18" t="s">
        <v>9</v>
      </c>
      <c r="F18" s="6">
        <f>F16+F17</f>
        <v>5900</v>
      </c>
    </row>
    <row r="19" spans="5:6" ht="15" thickBot="1" x14ac:dyDescent="0.35">
      <c r="E19" t="s">
        <v>10</v>
      </c>
      <c r="F19" s="2">
        <f>0.21*F18</f>
        <v>1239</v>
      </c>
    </row>
    <row r="20" spans="5:6" x14ac:dyDescent="0.3">
      <c r="E20" t="s">
        <v>11</v>
      </c>
      <c r="F20" s="6">
        <f>F18+F19</f>
        <v>7139</v>
      </c>
    </row>
  </sheetData>
  <pageMargins left="0.7" right="0.7" top="0.75" bottom="0.75" header="0.3" footer="0.3"/>
  <ignoredErrors>
    <ignoredError sqref="C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69EAC-22EE-4340-9457-E49A8F160DFA}">
  <dimension ref="B2:H14"/>
  <sheetViews>
    <sheetView showGridLines="0" topLeftCell="A4" workbookViewId="0">
      <selection activeCell="L30" sqref="L30"/>
    </sheetView>
  </sheetViews>
  <sheetFormatPr defaultColWidth="9.109375" defaultRowHeight="14.4" x14ac:dyDescent="0.3"/>
  <cols>
    <col min="2" max="2" width="6" bestFit="1" customWidth="1"/>
    <col min="3" max="3" width="9" bestFit="1" customWidth="1"/>
    <col min="4" max="4" width="8" bestFit="1" customWidth="1"/>
    <col min="5" max="5" width="6.88671875" bestFit="1" customWidth="1"/>
    <col min="6" max="6" width="13.77734375" bestFit="1" customWidth="1"/>
    <col min="7" max="7" width="12.5546875" bestFit="1" customWidth="1"/>
    <col min="8" max="8" width="19.88671875" bestFit="1" customWidth="1"/>
  </cols>
  <sheetData>
    <row r="2" spans="2:8" x14ac:dyDescent="0.3">
      <c r="B2" s="11" t="s">
        <v>26</v>
      </c>
      <c r="C2" s="11" t="s">
        <v>27</v>
      </c>
      <c r="D2" s="11" t="s">
        <v>28</v>
      </c>
      <c r="E2" s="11" t="s">
        <v>29</v>
      </c>
      <c r="F2" s="11" t="s">
        <v>30</v>
      </c>
      <c r="G2" s="11" t="s">
        <v>31</v>
      </c>
      <c r="H2" s="11" t="s">
        <v>32</v>
      </c>
    </row>
    <row r="3" spans="2:8" x14ac:dyDescent="0.3">
      <c r="B3" s="12">
        <v>123</v>
      </c>
      <c r="C3" t="s">
        <v>33</v>
      </c>
      <c r="D3" t="s">
        <v>34</v>
      </c>
      <c r="E3" s="12">
        <v>12</v>
      </c>
      <c r="F3" s="4" t="s">
        <v>35</v>
      </c>
      <c r="G3" s="13">
        <v>45297</v>
      </c>
      <c r="H3" t="s">
        <v>36</v>
      </c>
    </row>
    <row r="4" spans="2:8" x14ac:dyDescent="0.3">
      <c r="B4" s="12"/>
      <c r="E4" s="12"/>
      <c r="G4" s="13">
        <v>45376</v>
      </c>
      <c r="H4" t="s">
        <v>37</v>
      </c>
    </row>
    <row r="5" spans="2:8" x14ac:dyDescent="0.3">
      <c r="B5" s="12"/>
      <c r="E5" s="12"/>
      <c r="G5" s="13">
        <v>45388</v>
      </c>
      <c r="H5" t="s">
        <v>38</v>
      </c>
    </row>
    <row r="6" spans="2:8" x14ac:dyDescent="0.3">
      <c r="B6" s="12"/>
      <c r="E6" s="12"/>
      <c r="G6" s="13"/>
    </row>
    <row r="7" spans="2:8" x14ac:dyDescent="0.3">
      <c r="B7" s="12">
        <v>149</v>
      </c>
      <c r="C7" t="s">
        <v>39</v>
      </c>
      <c r="D7" t="s">
        <v>34</v>
      </c>
      <c r="E7" s="12">
        <v>2</v>
      </c>
      <c r="F7" s="4" t="s">
        <v>40</v>
      </c>
      <c r="G7" s="13">
        <v>45312</v>
      </c>
      <c r="H7" t="s">
        <v>41</v>
      </c>
    </row>
    <row r="8" spans="2:8" x14ac:dyDescent="0.3">
      <c r="B8" s="12"/>
      <c r="E8" s="12"/>
      <c r="G8" s="13">
        <v>45366</v>
      </c>
      <c r="H8" t="s">
        <v>42</v>
      </c>
    </row>
    <row r="9" spans="2:8" x14ac:dyDescent="0.3">
      <c r="B9" s="12"/>
      <c r="E9" s="12"/>
      <c r="G9" s="13"/>
    </row>
    <row r="10" spans="2:8" x14ac:dyDescent="0.3">
      <c r="B10" s="12">
        <v>170</v>
      </c>
      <c r="C10" t="s">
        <v>43</v>
      </c>
      <c r="D10" t="s">
        <v>44</v>
      </c>
      <c r="E10" s="12">
        <v>4</v>
      </c>
      <c r="F10" t="s">
        <v>35</v>
      </c>
      <c r="G10" s="13">
        <v>45333</v>
      </c>
      <c r="H10" t="s">
        <v>36</v>
      </c>
    </row>
    <row r="11" spans="2:8" x14ac:dyDescent="0.3">
      <c r="B11" s="12"/>
      <c r="E11" s="12"/>
      <c r="G11" s="13">
        <v>45340</v>
      </c>
      <c r="H11" t="s">
        <v>36</v>
      </c>
    </row>
    <row r="12" spans="2:8" x14ac:dyDescent="0.3">
      <c r="B12" s="12"/>
      <c r="E12" s="12"/>
      <c r="G12" s="13"/>
    </row>
    <row r="13" spans="2:8" x14ac:dyDescent="0.3">
      <c r="B13" s="12">
        <v>260</v>
      </c>
      <c r="C13" t="s">
        <v>45</v>
      </c>
      <c r="D13" t="s">
        <v>46</v>
      </c>
      <c r="E13" s="12">
        <v>2</v>
      </c>
      <c r="F13" s="4" t="s">
        <v>40</v>
      </c>
      <c r="G13" s="13">
        <v>45409</v>
      </c>
      <c r="H13" t="s">
        <v>47</v>
      </c>
    </row>
    <row r="14" spans="2:8" x14ac:dyDescent="0.3">
      <c r="G14" s="13">
        <v>45409</v>
      </c>
      <c r="H14" t="s">
        <v>48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C1A5-A23F-480A-978B-72BF9173642E}">
  <dimension ref="B2:L5"/>
  <sheetViews>
    <sheetView workbookViewId="0"/>
  </sheetViews>
  <sheetFormatPr defaultRowHeight="14.4" x14ac:dyDescent="0.3"/>
  <cols>
    <col min="2" max="2" width="7" bestFit="1" customWidth="1"/>
    <col min="3" max="3" width="10.44140625" bestFit="1" customWidth="1"/>
    <col min="4" max="4" width="6.5546875" bestFit="1" customWidth="1"/>
    <col min="5" max="5" width="5.5546875" bestFit="1" customWidth="1"/>
    <col min="6" max="6" width="7.88671875" bestFit="1" customWidth="1"/>
    <col min="7" max="7" width="8.44140625" bestFit="1" customWidth="1"/>
    <col min="8" max="8" width="10.21875" bestFit="1" customWidth="1"/>
    <col min="9" max="9" width="7.6640625" bestFit="1" customWidth="1"/>
    <col min="10" max="10" width="10.5546875" bestFit="1" customWidth="1"/>
    <col min="11" max="11" width="8.5546875" bestFit="1" customWidth="1"/>
    <col min="12" max="12" width="6" bestFit="1" customWidth="1"/>
  </cols>
  <sheetData>
    <row r="2" spans="2:12" x14ac:dyDescent="0.3">
      <c r="B2" s="11" t="s">
        <v>49</v>
      </c>
      <c r="C2" s="11" t="s">
        <v>50</v>
      </c>
      <c r="D2" s="11" t="s">
        <v>51</v>
      </c>
      <c r="E2" s="11" t="s">
        <v>52</v>
      </c>
      <c r="F2" s="11" t="s">
        <v>53</v>
      </c>
      <c r="G2" s="11" t="s">
        <v>54</v>
      </c>
      <c r="H2" s="11" t="s">
        <v>55</v>
      </c>
      <c r="I2" s="11" t="s">
        <v>56</v>
      </c>
      <c r="J2" s="11" t="s">
        <v>57</v>
      </c>
      <c r="K2" s="11" t="s">
        <v>58</v>
      </c>
      <c r="L2" s="11" t="s">
        <v>59</v>
      </c>
    </row>
    <row r="3" spans="2:12" x14ac:dyDescent="0.3">
      <c r="B3">
        <v>1</v>
      </c>
      <c r="C3" s="5">
        <v>44857</v>
      </c>
      <c r="D3">
        <v>23</v>
      </c>
      <c r="E3" t="s">
        <v>60</v>
      </c>
      <c r="F3" t="s">
        <v>61</v>
      </c>
      <c r="G3" t="s">
        <v>62</v>
      </c>
      <c r="H3" t="s">
        <v>63</v>
      </c>
      <c r="I3">
        <v>123</v>
      </c>
      <c r="J3" t="s">
        <v>64</v>
      </c>
      <c r="K3" s="1">
        <v>78</v>
      </c>
      <c r="L3">
        <v>12</v>
      </c>
    </row>
    <row r="4" spans="2:12" x14ac:dyDescent="0.3">
      <c r="B4">
        <v>1</v>
      </c>
      <c r="C4" s="5">
        <v>44857</v>
      </c>
      <c r="D4">
        <v>23</v>
      </c>
      <c r="E4" t="s">
        <v>60</v>
      </c>
      <c r="F4" t="s">
        <v>61</v>
      </c>
      <c r="G4" t="s">
        <v>62</v>
      </c>
      <c r="H4" t="s">
        <v>63</v>
      </c>
      <c r="I4">
        <v>132</v>
      </c>
      <c r="J4" t="s">
        <v>65</v>
      </c>
      <c r="K4" s="1">
        <v>126</v>
      </c>
      <c r="L4">
        <v>2</v>
      </c>
    </row>
    <row r="5" spans="2:12" x14ac:dyDescent="0.3">
      <c r="B5">
        <v>1</v>
      </c>
      <c r="C5" s="5">
        <v>44857</v>
      </c>
      <c r="D5">
        <v>23</v>
      </c>
      <c r="E5" t="s">
        <v>60</v>
      </c>
      <c r="F5" t="s">
        <v>61</v>
      </c>
      <c r="G5" t="s">
        <v>62</v>
      </c>
      <c r="H5" t="s">
        <v>63</v>
      </c>
      <c r="I5">
        <v>145</v>
      </c>
      <c r="J5" t="s">
        <v>66</v>
      </c>
      <c r="K5" s="1">
        <v>235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A66B-DF7D-4F7D-B6EA-E4603CF878A3}">
  <dimension ref="B2:H7"/>
  <sheetViews>
    <sheetView workbookViewId="0">
      <selection activeCell="H5" sqref="H5"/>
    </sheetView>
  </sheetViews>
  <sheetFormatPr defaultRowHeight="14.4" x14ac:dyDescent="0.3"/>
  <cols>
    <col min="2" max="2" width="12" bestFit="1" customWidth="1"/>
    <col min="3" max="3" width="5.6640625" bestFit="1" customWidth="1"/>
    <col min="4" max="4" width="7.6640625" bestFit="1" customWidth="1"/>
    <col min="5" max="5" width="5.6640625" bestFit="1" customWidth="1"/>
    <col min="6" max="6" width="8.109375" bestFit="1" customWidth="1"/>
    <col min="7" max="7" width="12.6640625" bestFit="1" customWidth="1"/>
    <col min="8" max="8" width="11.88671875" bestFit="1" customWidth="1"/>
  </cols>
  <sheetData>
    <row r="2" spans="2:8" x14ac:dyDescent="0.3">
      <c r="B2" s="11" t="s">
        <v>67</v>
      </c>
      <c r="C2" s="11" t="s">
        <v>52</v>
      </c>
      <c r="D2" s="11" t="s">
        <v>68</v>
      </c>
      <c r="E2" s="11" t="s">
        <v>69</v>
      </c>
      <c r="F2" s="11" t="s">
        <v>70</v>
      </c>
      <c r="G2" s="11" t="s">
        <v>71</v>
      </c>
      <c r="H2" s="11" t="s">
        <v>72</v>
      </c>
    </row>
    <row r="3" spans="2:8" x14ac:dyDescent="0.3">
      <c r="B3">
        <v>123</v>
      </c>
      <c r="C3" t="s">
        <v>73</v>
      </c>
      <c r="D3" t="s">
        <v>74</v>
      </c>
      <c r="E3" t="s">
        <v>75</v>
      </c>
      <c r="F3">
        <v>2389</v>
      </c>
      <c r="G3" t="s">
        <v>76</v>
      </c>
      <c r="H3" s="13">
        <v>44997</v>
      </c>
    </row>
    <row r="4" spans="2:8" x14ac:dyDescent="0.3">
      <c r="F4">
        <v>8712</v>
      </c>
      <c r="G4" t="s">
        <v>77</v>
      </c>
      <c r="H4" s="13">
        <v>44980</v>
      </c>
    </row>
    <row r="5" spans="2:8" x14ac:dyDescent="0.3">
      <c r="F5">
        <v>2345</v>
      </c>
      <c r="G5" t="s">
        <v>78</v>
      </c>
      <c r="H5" s="13">
        <v>45039</v>
      </c>
    </row>
    <row r="6" spans="2:8" x14ac:dyDescent="0.3">
      <c r="B6">
        <v>234</v>
      </c>
      <c r="C6" t="s">
        <v>79</v>
      </c>
      <c r="D6" t="s">
        <v>80</v>
      </c>
      <c r="E6" t="s">
        <v>81</v>
      </c>
      <c r="F6">
        <v>1122</v>
      </c>
      <c r="G6" t="s">
        <v>82</v>
      </c>
      <c r="H6" s="13">
        <v>44907</v>
      </c>
    </row>
    <row r="7" spans="2:8" x14ac:dyDescent="0.3">
      <c r="F7">
        <v>2389</v>
      </c>
      <c r="G7" t="s">
        <v>76</v>
      </c>
      <c r="H7" s="13">
        <v>44997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5506-5D64-4A9E-AD36-4D82AD29B174}">
  <dimension ref="B2:F16"/>
  <sheetViews>
    <sheetView workbookViewId="0">
      <selection activeCell="A20" sqref="A20"/>
    </sheetView>
  </sheetViews>
  <sheetFormatPr defaultRowHeight="14.4" x14ac:dyDescent="0.3"/>
  <cols>
    <col min="2" max="2" width="8.77734375" customWidth="1"/>
    <col min="3" max="3" width="11.77734375" customWidth="1"/>
    <col min="4" max="4" width="20.77734375" customWidth="1"/>
    <col min="5" max="5" width="10.5546875" bestFit="1" customWidth="1"/>
    <col min="6" max="6" width="11.6640625" bestFit="1" customWidth="1"/>
  </cols>
  <sheetData>
    <row r="2" spans="2:6" x14ac:dyDescent="0.3">
      <c r="B2" s="11" t="s">
        <v>92</v>
      </c>
    </row>
    <row r="3" spans="2:6" x14ac:dyDescent="0.3">
      <c r="B3" s="11" t="s">
        <v>52</v>
      </c>
      <c r="C3" s="11" t="s">
        <v>53</v>
      </c>
      <c r="D3" s="11" t="s">
        <v>54</v>
      </c>
      <c r="E3" s="11" t="s">
        <v>55</v>
      </c>
      <c r="F3" s="11" t="s">
        <v>83</v>
      </c>
    </row>
    <row r="4" spans="2:6" x14ac:dyDescent="0.3">
      <c r="B4" t="s">
        <v>108</v>
      </c>
      <c r="C4" t="s">
        <v>88</v>
      </c>
      <c r="D4" t="s">
        <v>89</v>
      </c>
      <c r="E4" t="s">
        <v>90</v>
      </c>
      <c r="F4" t="s">
        <v>91</v>
      </c>
    </row>
    <row r="6" spans="2:6" x14ac:dyDescent="0.3">
      <c r="B6" s="11" t="s">
        <v>93</v>
      </c>
    </row>
    <row r="7" spans="2:6" x14ac:dyDescent="0.3">
      <c r="B7" s="11" t="s">
        <v>84</v>
      </c>
      <c r="C7" s="11" t="s">
        <v>85</v>
      </c>
      <c r="D7" s="11" t="s">
        <v>86</v>
      </c>
      <c r="E7" s="11" t="s">
        <v>87</v>
      </c>
    </row>
    <row r="8" spans="2:6" x14ac:dyDescent="0.3">
      <c r="B8" t="s">
        <v>94</v>
      </c>
      <c r="C8" t="s">
        <v>106</v>
      </c>
      <c r="D8" t="s">
        <v>107</v>
      </c>
      <c r="E8">
        <v>2022</v>
      </c>
    </row>
    <row r="9" spans="2:6" x14ac:dyDescent="0.3">
      <c r="B9" s="3" t="s">
        <v>95</v>
      </c>
      <c r="C9" t="s">
        <v>104</v>
      </c>
      <c r="D9" t="s">
        <v>105</v>
      </c>
      <c r="E9">
        <v>2000</v>
      </c>
    </row>
    <row r="11" spans="2:6" x14ac:dyDescent="0.3">
      <c r="B11" s="11" t="s">
        <v>96</v>
      </c>
    </row>
    <row r="12" spans="2:6" x14ac:dyDescent="0.3">
      <c r="B12" s="11" t="s">
        <v>84</v>
      </c>
      <c r="C12" s="11" t="s">
        <v>97</v>
      </c>
      <c r="D12" s="11" t="s">
        <v>98</v>
      </c>
      <c r="E12" s="11" t="s">
        <v>99</v>
      </c>
      <c r="F12" s="11" t="s">
        <v>100</v>
      </c>
    </row>
    <row r="13" spans="2:6" x14ac:dyDescent="0.3">
      <c r="B13" t="s">
        <v>94</v>
      </c>
      <c r="C13" s="13">
        <v>45354</v>
      </c>
      <c r="D13" t="s">
        <v>101</v>
      </c>
      <c r="E13" s="1">
        <v>300</v>
      </c>
      <c r="F13" s="1">
        <v>1200</v>
      </c>
    </row>
    <row r="14" spans="2:6" x14ac:dyDescent="0.3">
      <c r="B14" t="s">
        <v>95</v>
      </c>
      <c r="C14" s="13">
        <v>45611</v>
      </c>
      <c r="D14" t="s">
        <v>102</v>
      </c>
      <c r="E14" s="1">
        <v>700</v>
      </c>
      <c r="F14" s="1">
        <v>300</v>
      </c>
    </row>
    <row r="15" spans="2:6" x14ac:dyDescent="0.3">
      <c r="B15" t="s">
        <v>94</v>
      </c>
      <c r="C15" s="13">
        <v>45751</v>
      </c>
      <c r="D15" t="s">
        <v>102</v>
      </c>
      <c r="E15" s="1">
        <v>400</v>
      </c>
      <c r="F15" s="1">
        <v>300</v>
      </c>
    </row>
    <row r="16" spans="2:6" x14ac:dyDescent="0.3">
      <c r="B16" t="s">
        <v>94</v>
      </c>
      <c r="C16" s="13">
        <v>45751</v>
      </c>
      <c r="D16" t="s">
        <v>103</v>
      </c>
      <c r="E16" s="1">
        <v>100</v>
      </c>
      <c r="F16" s="1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6A175-DD20-41FF-8F5A-B5067D68EC01}">
  <dimension ref="B2:F20"/>
  <sheetViews>
    <sheetView showGridLines="0" workbookViewId="0">
      <selection activeCell="A22" sqref="A22"/>
    </sheetView>
  </sheetViews>
  <sheetFormatPr defaultRowHeight="14.4" x14ac:dyDescent="0.3"/>
  <cols>
    <col min="2" max="2" width="15.77734375" customWidth="1"/>
    <col min="3" max="3" width="17.77734375" customWidth="1"/>
    <col min="4" max="4" width="8.77734375" customWidth="1"/>
    <col min="5" max="5" width="12.77734375" customWidth="1"/>
    <col min="6" max="6" width="10.77734375" customWidth="1"/>
  </cols>
  <sheetData>
    <row r="2" spans="2:6" x14ac:dyDescent="0.3">
      <c r="B2" s="18" t="s">
        <v>109</v>
      </c>
      <c r="C2" s="18" t="s">
        <v>111</v>
      </c>
      <c r="D2" s="18" t="s">
        <v>112</v>
      </c>
      <c r="E2" s="18" t="s">
        <v>113</v>
      </c>
      <c r="F2" s="18" t="s">
        <v>114</v>
      </c>
    </row>
    <row r="3" spans="2:6" x14ac:dyDescent="0.3">
      <c r="B3" s="14" t="s">
        <v>110</v>
      </c>
      <c r="C3" s="14" t="s">
        <v>137</v>
      </c>
      <c r="D3" s="14" t="s">
        <v>115</v>
      </c>
      <c r="E3" s="14" t="s">
        <v>116</v>
      </c>
      <c r="F3" s="15">
        <v>6.2</v>
      </c>
    </row>
    <row r="4" spans="2:6" x14ac:dyDescent="0.3">
      <c r="B4" t="s">
        <v>124</v>
      </c>
      <c r="C4" s="16" t="s">
        <v>117</v>
      </c>
      <c r="D4" s="16" t="s">
        <v>115</v>
      </c>
      <c r="E4" s="16" t="s">
        <v>116</v>
      </c>
      <c r="F4" s="17">
        <v>6.3</v>
      </c>
    </row>
    <row r="5" spans="2:6" x14ac:dyDescent="0.3">
      <c r="B5" t="s">
        <v>136</v>
      </c>
      <c r="C5" s="16" t="s">
        <v>118</v>
      </c>
      <c r="D5" s="16" t="s">
        <v>119</v>
      </c>
      <c r="E5" s="16" t="s">
        <v>120</v>
      </c>
      <c r="F5" s="17">
        <v>6.6</v>
      </c>
    </row>
    <row r="6" spans="2:6" x14ac:dyDescent="0.3">
      <c r="C6" s="16" t="s">
        <v>121</v>
      </c>
      <c r="D6" s="16" t="s">
        <v>122</v>
      </c>
      <c r="E6" s="16"/>
      <c r="F6" s="17">
        <v>6.4</v>
      </c>
    </row>
    <row r="7" spans="2:6" x14ac:dyDescent="0.3">
      <c r="C7" s="16" t="s">
        <v>140</v>
      </c>
      <c r="D7" s="16" t="s">
        <v>123</v>
      </c>
      <c r="E7" s="16"/>
      <c r="F7" s="17">
        <v>4.0999999999999996</v>
      </c>
    </row>
    <row r="8" spans="2:6" x14ac:dyDescent="0.3">
      <c r="B8" s="14" t="s">
        <v>125</v>
      </c>
      <c r="C8" s="14" t="s">
        <v>137</v>
      </c>
      <c r="D8" s="14" t="s">
        <v>115</v>
      </c>
      <c r="E8" s="14" t="s">
        <v>116</v>
      </c>
      <c r="F8" s="15">
        <v>6.2</v>
      </c>
    </row>
    <row r="9" spans="2:6" x14ac:dyDescent="0.3">
      <c r="B9" t="s">
        <v>126</v>
      </c>
      <c r="C9" s="16" t="s">
        <v>117</v>
      </c>
      <c r="D9" s="16" t="s">
        <v>115</v>
      </c>
      <c r="E9" s="16" t="s">
        <v>116</v>
      </c>
      <c r="F9" s="17">
        <v>6.5</v>
      </c>
    </row>
    <row r="10" spans="2:6" x14ac:dyDescent="0.3">
      <c r="B10" t="s">
        <v>135</v>
      </c>
      <c r="C10" s="16" t="s">
        <v>127</v>
      </c>
      <c r="D10" s="16" t="s">
        <v>115</v>
      </c>
      <c r="E10" s="16" t="s">
        <v>116</v>
      </c>
      <c r="F10" s="17">
        <v>6.5</v>
      </c>
    </row>
    <row r="11" spans="2:6" x14ac:dyDescent="0.3">
      <c r="C11" s="16" t="s">
        <v>128</v>
      </c>
      <c r="D11" s="16" t="s">
        <v>119</v>
      </c>
      <c r="E11" s="16" t="s">
        <v>116</v>
      </c>
      <c r="F11" s="17">
        <v>6.5</v>
      </c>
    </row>
    <row r="12" spans="2:6" x14ac:dyDescent="0.3">
      <c r="C12" s="16" t="s">
        <v>129</v>
      </c>
      <c r="D12" s="16" t="s">
        <v>119</v>
      </c>
      <c r="E12" s="16" t="s">
        <v>116</v>
      </c>
      <c r="F12" s="17">
        <v>6.5</v>
      </c>
    </row>
    <row r="13" spans="2:6" x14ac:dyDescent="0.3">
      <c r="C13" s="16" t="s">
        <v>130</v>
      </c>
      <c r="D13" s="16" t="s">
        <v>119</v>
      </c>
      <c r="E13" s="16" t="s">
        <v>120</v>
      </c>
      <c r="F13" s="17">
        <v>6.5</v>
      </c>
    </row>
    <row r="14" spans="2:6" x14ac:dyDescent="0.3">
      <c r="C14" s="16" t="s">
        <v>131</v>
      </c>
      <c r="D14" s="16" t="s">
        <v>119</v>
      </c>
      <c r="E14" s="16" t="s">
        <v>120</v>
      </c>
      <c r="F14" s="17">
        <v>6.7</v>
      </c>
    </row>
    <row r="15" spans="2:6" x14ac:dyDescent="0.3">
      <c r="C15" s="16" t="s">
        <v>121</v>
      </c>
      <c r="D15" s="16" t="s">
        <v>122</v>
      </c>
      <c r="E15" s="16"/>
      <c r="F15" s="17">
        <v>6.5</v>
      </c>
    </row>
    <row r="16" spans="2:6" x14ac:dyDescent="0.3">
      <c r="B16" s="14" t="s">
        <v>132</v>
      </c>
      <c r="C16" s="14" t="s">
        <v>137</v>
      </c>
      <c r="D16" s="14" t="s">
        <v>115</v>
      </c>
      <c r="E16" s="14" t="s">
        <v>116</v>
      </c>
      <c r="F16" s="15">
        <v>6.1</v>
      </c>
    </row>
    <row r="17" spans="2:6" x14ac:dyDescent="0.3">
      <c r="B17" t="s">
        <v>133</v>
      </c>
      <c r="C17" s="16" t="s">
        <v>118</v>
      </c>
      <c r="D17" s="16" t="s">
        <v>119</v>
      </c>
      <c r="E17" s="16" t="s">
        <v>120</v>
      </c>
      <c r="F17" s="17">
        <v>6.1</v>
      </c>
    </row>
    <row r="18" spans="2:6" x14ac:dyDescent="0.3">
      <c r="B18" t="s">
        <v>134</v>
      </c>
      <c r="C18" s="16" t="s">
        <v>138</v>
      </c>
      <c r="D18" s="16" t="s">
        <v>122</v>
      </c>
      <c r="E18" s="16"/>
      <c r="F18" s="17">
        <v>5.9</v>
      </c>
    </row>
    <row r="19" spans="2:6" x14ac:dyDescent="0.3">
      <c r="C19" s="16" t="s">
        <v>139</v>
      </c>
      <c r="D19" s="16" t="s">
        <v>123</v>
      </c>
      <c r="E19" s="16"/>
      <c r="F19" s="17">
        <v>3.9</v>
      </c>
    </row>
    <row r="20" spans="2:6" x14ac:dyDescent="0.3">
      <c r="B20" s="14"/>
      <c r="C20" s="14"/>
      <c r="D20" s="14"/>
      <c r="E20" s="14"/>
      <c r="F20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D5412-2057-4E8B-AD05-14622EB7007E}">
  <dimension ref="B2:H5"/>
  <sheetViews>
    <sheetView workbookViewId="0">
      <selection activeCell="A8" sqref="A8"/>
    </sheetView>
  </sheetViews>
  <sheetFormatPr defaultRowHeight="14.4" x14ac:dyDescent="0.3"/>
  <cols>
    <col min="2" max="2" width="10.21875" bestFit="1" customWidth="1"/>
    <col min="3" max="3" width="11.44140625" bestFit="1" customWidth="1"/>
    <col min="4" max="4" width="13.5546875" bestFit="1" customWidth="1"/>
    <col min="7" max="7" width="11.6640625" bestFit="1" customWidth="1"/>
    <col min="8" max="8" width="13.88671875" bestFit="1" customWidth="1"/>
  </cols>
  <sheetData>
    <row r="2" spans="2:8" x14ac:dyDescent="0.3">
      <c r="B2" s="11" t="s">
        <v>141</v>
      </c>
      <c r="C2" s="11" t="s">
        <v>52</v>
      </c>
      <c r="D2" s="11" t="s">
        <v>53</v>
      </c>
      <c r="E2" s="11" t="s">
        <v>54</v>
      </c>
      <c r="F2" s="11" t="s">
        <v>142</v>
      </c>
      <c r="G2" s="11" t="s">
        <v>83</v>
      </c>
      <c r="H2" s="11" t="s">
        <v>143</v>
      </c>
    </row>
    <row r="3" spans="2:8" x14ac:dyDescent="0.3">
      <c r="B3" s="20">
        <v>7623</v>
      </c>
      <c r="C3" s="20" t="s">
        <v>144</v>
      </c>
      <c r="D3" s="20" t="s">
        <v>147</v>
      </c>
      <c r="E3" s="20" t="s">
        <v>150</v>
      </c>
      <c r="F3" s="20" t="s">
        <v>153</v>
      </c>
      <c r="G3" s="21" t="s">
        <v>155</v>
      </c>
      <c r="H3" s="19">
        <v>27465</v>
      </c>
    </row>
    <row r="4" spans="2:8" x14ac:dyDescent="0.3">
      <c r="B4" s="20">
        <v>7545</v>
      </c>
      <c r="C4" s="20" t="s">
        <v>145</v>
      </c>
      <c r="D4" s="20" t="s">
        <v>148</v>
      </c>
      <c r="E4" s="20" t="s">
        <v>151</v>
      </c>
      <c r="F4" s="20" t="s">
        <v>154</v>
      </c>
      <c r="G4" s="21" t="s">
        <v>156</v>
      </c>
      <c r="H4" s="19">
        <v>23289</v>
      </c>
    </row>
    <row r="5" spans="2:8" x14ac:dyDescent="0.3">
      <c r="B5" s="20">
        <v>7241</v>
      </c>
      <c r="C5" s="20" t="s">
        <v>146</v>
      </c>
      <c r="D5" s="20" t="s">
        <v>149</v>
      </c>
      <c r="E5" s="20" t="s">
        <v>152</v>
      </c>
      <c r="F5" s="20" t="s">
        <v>154</v>
      </c>
      <c r="G5" s="21" t="s">
        <v>157</v>
      </c>
      <c r="H5" s="19">
        <v>23380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139C6-8F62-447A-BB63-61D806867566}">
  <dimension ref="B2:E18"/>
  <sheetViews>
    <sheetView showGridLines="0" workbookViewId="0">
      <selection activeCell="B2" sqref="B2"/>
    </sheetView>
  </sheetViews>
  <sheetFormatPr defaultRowHeight="14.4" x14ac:dyDescent="0.3"/>
  <cols>
    <col min="2" max="3" width="12.77734375" customWidth="1"/>
    <col min="4" max="4" width="10.33203125" bestFit="1" customWidth="1"/>
  </cols>
  <sheetData>
    <row r="2" spans="2:5" ht="19.95" customHeight="1" x14ac:dyDescent="0.3">
      <c r="B2" s="24" t="s">
        <v>164</v>
      </c>
    </row>
    <row r="3" spans="2:5" x14ac:dyDescent="0.3">
      <c r="C3" s="11" t="s">
        <v>165</v>
      </c>
    </row>
    <row r="4" spans="2:5" x14ac:dyDescent="0.3">
      <c r="C4" t="s">
        <v>173</v>
      </c>
      <c r="D4" s="13">
        <v>44973</v>
      </c>
    </row>
    <row r="5" spans="2:5" x14ac:dyDescent="0.3">
      <c r="C5" t="s">
        <v>174</v>
      </c>
      <c r="D5">
        <v>2871</v>
      </c>
    </row>
    <row r="7" spans="2:5" x14ac:dyDescent="0.3">
      <c r="B7" t="s">
        <v>175</v>
      </c>
      <c r="C7">
        <v>5768</v>
      </c>
    </row>
    <row r="8" spans="2:5" x14ac:dyDescent="0.3">
      <c r="B8" t="s">
        <v>166</v>
      </c>
      <c r="C8" t="s">
        <v>167</v>
      </c>
    </row>
    <row r="9" spans="2:5" x14ac:dyDescent="0.3">
      <c r="C9" t="s">
        <v>168</v>
      </c>
    </row>
    <row r="10" spans="2:5" x14ac:dyDescent="0.3">
      <c r="C10" t="s">
        <v>169</v>
      </c>
    </row>
    <row r="12" spans="2:5" x14ac:dyDescent="0.3">
      <c r="B12" s="18" t="s">
        <v>56</v>
      </c>
      <c r="C12" s="18" t="s">
        <v>98</v>
      </c>
      <c r="D12" s="18" t="s">
        <v>59</v>
      </c>
      <c r="E12" s="18" t="s">
        <v>162</v>
      </c>
    </row>
    <row r="13" spans="2:5" x14ac:dyDescent="0.3">
      <c r="B13" t="s">
        <v>158</v>
      </c>
      <c r="C13" t="s">
        <v>160</v>
      </c>
      <c r="D13">
        <v>20</v>
      </c>
      <c r="E13" s="1">
        <v>298</v>
      </c>
    </row>
    <row r="14" spans="2:5" x14ac:dyDescent="0.3">
      <c r="B14" t="s">
        <v>159</v>
      </c>
      <c r="C14" t="s">
        <v>161</v>
      </c>
      <c r="D14">
        <v>5</v>
      </c>
      <c r="E14" s="1">
        <v>87</v>
      </c>
    </row>
    <row r="15" spans="2:5" x14ac:dyDescent="0.3">
      <c r="B15" s="14"/>
      <c r="C15" s="14"/>
      <c r="D15" s="22" t="s">
        <v>163</v>
      </c>
      <c r="E15" s="23">
        <f>SUM(E13:E14)</f>
        <v>385</v>
      </c>
    </row>
    <row r="17" spans="2:4" x14ac:dyDescent="0.3">
      <c r="B17" t="s">
        <v>170</v>
      </c>
      <c r="D17" s="13">
        <v>45016</v>
      </c>
    </row>
    <row r="18" spans="2:4" x14ac:dyDescent="0.3">
      <c r="B18" t="s">
        <v>171</v>
      </c>
      <c r="D18" t="s">
        <v>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431D-A004-480B-B51A-C2065A3D9911}">
  <dimension ref="B2:G17"/>
  <sheetViews>
    <sheetView showGridLines="0" workbookViewId="0">
      <selection activeCell="B2" sqref="B2"/>
    </sheetView>
  </sheetViews>
  <sheetFormatPr defaultRowHeight="14.4" x14ac:dyDescent="0.3"/>
  <cols>
    <col min="2" max="2" width="9.77734375" customWidth="1"/>
    <col min="3" max="3" width="6.77734375" customWidth="1"/>
    <col min="4" max="4" width="15.77734375" customWidth="1"/>
    <col min="5" max="5" width="10.77734375" customWidth="1"/>
    <col min="6" max="6" width="5.77734375" customWidth="1"/>
    <col min="7" max="7" width="8.77734375" customWidth="1"/>
  </cols>
  <sheetData>
    <row r="2" spans="2:7" ht="18" x14ac:dyDescent="0.3">
      <c r="B2" s="24" t="s">
        <v>176</v>
      </c>
    </row>
    <row r="3" spans="2:7" x14ac:dyDescent="0.3">
      <c r="B3" t="s">
        <v>194</v>
      </c>
      <c r="D3" s="4">
        <v>17578</v>
      </c>
    </row>
    <row r="4" spans="2:7" x14ac:dyDescent="0.3">
      <c r="B4" t="s">
        <v>195</v>
      </c>
      <c r="D4" s="25">
        <v>45992</v>
      </c>
    </row>
    <row r="5" spans="2:7" x14ac:dyDescent="0.3">
      <c r="B5" t="s">
        <v>196</v>
      </c>
      <c r="D5" t="s">
        <v>197</v>
      </c>
    </row>
    <row r="7" spans="2:7" x14ac:dyDescent="0.3">
      <c r="B7" t="s">
        <v>177</v>
      </c>
      <c r="D7" s="4">
        <v>15</v>
      </c>
    </row>
    <row r="8" spans="2:7" x14ac:dyDescent="0.3">
      <c r="B8" t="s">
        <v>190</v>
      </c>
      <c r="D8" t="s">
        <v>192</v>
      </c>
    </row>
    <row r="9" spans="2:7" x14ac:dyDescent="0.3">
      <c r="B9" t="s">
        <v>191</v>
      </c>
      <c r="D9" t="s">
        <v>193</v>
      </c>
    </row>
    <row r="10" spans="2:7" x14ac:dyDescent="0.3">
      <c r="B10" t="s">
        <v>178</v>
      </c>
      <c r="D10" s="26">
        <v>35</v>
      </c>
    </row>
    <row r="12" spans="2:7" x14ac:dyDescent="0.3">
      <c r="B12" s="18" t="s">
        <v>51</v>
      </c>
      <c r="C12" s="18" t="s">
        <v>52</v>
      </c>
      <c r="D12" s="18" t="s">
        <v>53</v>
      </c>
      <c r="E12" s="18" t="s">
        <v>179</v>
      </c>
      <c r="F12" s="28" t="s">
        <v>180</v>
      </c>
      <c r="G12" s="28" t="s">
        <v>181</v>
      </c>
    </row>
    <row r="13" spans="2:7" x14ac:dyDescent="0.3">
      <c r="B13" s="4">
        <v>654</v>
      </c>
      <c r="C13" t="s">
        <v>182</v>
      </c>
      <c r="D13" t="s">
        <v>185</v>
      </c>
      <c r="E13" t="s">
        <v>154</v>
      </c>
      <c r="F13">
        <v>6</v>
      </c>
      <c r="G13" s="27">
        <v>3</v>
      </c>
    </row>
    <row r="14" spans="2:7" x14ac:dyDescent="0.3">
      <c r="B14" s="29">
        <v>736</v>
      </c>
      <c r="C14" s="16" t="s">
        <v>183</v>
      </c>
      <c r="D14" s="16" t="s">
        <v>186</v>
      </c>
      <c r="E14" s="16" t="s">
        <v>187</v>
      </c>
      <c r="F14" s="16">
        <v>16</v>
      </c>
      <c r="G14" s="30">
        <v>17</v>
      </c>
    </row>
    <row r="15" spans="2:7" x14ac:dyDescent="0.3">
      <c r="B15" s="29">
        <v>333</v>
      </c>
      <c r="C15" s="16" t="s">
        <v>184</v>
      </c>
      <c r="D15" s="16" t="s">
        <v>188</v>
      </c>
      <c r="E15" s="16" t="s">
        <v>154</v>
      </c>
      <c r="F15" s="16">
        <v>20</v>
      </c>
      <c r="G15" s="30">
        <v>12</v>
      </c>
    </row>
    <row r="16" spans="2:7" x14ac:dyDescent="0.3">
      <c r="B16" s="29"/>
      <c r="C16" s="16"/>
      <c r="D16" s="16"/>
      <c r="E16" s="16"/>
      <c r="F16" s="16"/>
      <c r="G16" s="30"/>
    </row>
    <row r="17" spans="2:7" x14ac:dyDescent="0.3">
      <c r="B17" s="14"/>
      <c r="C17" s="14"/>
      <c r="D17" s="14"/>
      <c r="E17" s="22" t="s">
        <v>189</v>
      </c>
      <c r="F17" s="14"/>
      <c r="G17" s="31">
        <f>SUM(G13:G16)</f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F4D0-BC29-45DE-9FDB-689E0CACDD64}">
  <dimension ref="B2:H19"/>
  <sheetViews>
    <sheetView showGridLines="0" workbookViewId="0">
      <selection activeCell="A23" sqref="A23"/>
    </sheetView>
  </sheetViews>
  <sheetFormatPr defaultRowHeight="14.4" x14ac:dyDescent="0.3"/>
  <cols>
    <col min="3" max="3" width="6.21875" bestFit="1" customWidth="1"/>
    <col min="4" max="4" width="18.109375" bestFit="1" customWidth="1"/>
    <col min="5" max="5" width="8.77734375" customWidth="1"/>
    <col min="6" max="6" width="12.77734375" customWidth="1"/>
    <col min="8" max="8" width="10.77734375" customWidth="1"/>
  </cols>
  <sheetData>
    <row r="2" spans="2:8" ht="18" x14ac:dyDescent="0.3">
      <c r="B2" s="24" t="s">
        <v>206</v>
      </c>
    </row>
    <row r="3" spans="2:8" x14ac:dyDescent="0.3">
      <c r="B3" s="11" t="s">
        <v>154</v>
      </c>
    </row>
    <row r="5" spans="2:8" x14ac:dyDescent="0.3">
      <c r="B5" s="11" t="s">
        <v>208</v>
      </c>
    </row>
    <row r="6" spans="2:8" x14ac:dyDescent="0.3">
      <c r="B6" t="s">
        <v>209</v>
      </c>
      <c r="D6" s="4">
        <v>2</v>
      </c>
    </row>
    <row r="7" spans="2:8" x14ac:dyDescent="0.3">
      <c r="B7" t="s">
        <v>175</v>
      </c>
      <c r="D7" s="4">
        <v>2</v>
      </c>
    </row>
    <row r="8" spans="2:8" x14ac:dyDescent="0.3">
      <c r="B8" t="s">
        <v>166</v>
      </c>
      <c r="D8" s="4" t="s">
        <v>219</v>
      </c>
    </row>
    <row r="9" spans="2:8" x14ac:dyDescent="0.3">
      <c r="B9" t="s">
        <v>210</v>
      </c>
      <c r="D9" s="4" t="s">
        <v>220</v>
      </c>
    </row>
    <row r="10" spans="2:8" x14ac:dyDescent="0.3">
      <c r="B10" t="s">
        <v>211</v>
      </c>
      <c r="D10" s="4" t="s">
        <v>187</v>
      </c>
    </row>
    <row r="12" spans="2:8" x14ac:dyDescent="0.3">
      <c r="B12" s="11" t="s">
        <v>56</v>
      </c>
      <c r="C12" s="11" t="s">
        <v>59</v>
      </c>
      <c r="D12" s="11" t="s">
        <v>98</v>
      </c>
      <c r="E12" s="11" t="s">
        <v>58</v>
      </c>
      <c r="F12" s="11" t="s">
        <v>162</v>
      </c>
      <c r="G12" s="11" t="s">
        <v>212</v>
      </c>
      <c r="H12" s="11" t="s">
        <v>213</v>
      </c>
    </row>
    <row r="13" spans="2:8" x14ac:dyDescent="0.3">
      <c r="B13" s="4">
        <v>2</v>
      </c>
      <c r="C13">
        <v>10</v>
      </c>
      <c r="D13" t="s">
        <v>214</v>
      </c>
      <c r="E13" s="1">
        <v>640</v>
      </c>
      <c r="F13" s="2">
        <f>C13*E13</f>
        <v>6400</v>
      </c>
      <c r="G13" s="12" t="s">
        <v>217</v>
      </c>
      <c r="H13" s="1">
        <f>IF(G13="H",0.21*F13,0.09*F13)</f>
        <v>1344</v>
      </c>
    </row>
    <row r="14" spans="2:8" x14ac:dyDescent="0.3">
      <c r="B14" s="4">
        <v>3</v>
      </c>
      <c r="C14">
        <v>10</v>
      </c>
      <c r="D14" t="s">
        <v>215</v>
      </c>
      <c r="E14" s="1">
        <v>785</v>
      </c>
      <c r="F14" s="2">
        <f t="shared" ref="F14:F15" si="0">C14*E14</f>
        <v>7850</v>
      </c>
      <c r="G14" s="12" t="s">
        <v>217</v>
      </c>
      <c r="H14" s="1">
        <f t="shared" ref="H14:H15" si="1">IF(G14="H",0.21*F14,0.09*F14)</f>
        <v>1648.5</v>
      </c>
    </row>
    <row r="15" spans="2:8" x14ac:dyDescent="0.3">
      <c r="B15" s="4">
        <v>4</v>
      </c>
      <c r="C15">
        <v>5</v>
      </c>
      <c r="D15" t="s">
        <v>216</v>
      </c>
      <c r="E15" s="1">
        <v>21</v>
      </c>
      <c r="F15" s="2">
        <f t="shared" si="0"/>
        <v>105</v>
      </c>
      <c r="G15" s="12" t="s">
        <v>218</v>
      </c>
      <c r="H15" s="1">
        <f t="shared" si="1"/>
        <v>9.4499999999999993</v>
      </c>
    </row>
    <row r="16" spans="2:8" x14ac:dyDescent="0.3">
      <c r="E16" s="34" t="s">
        <v>221</v>
      </c>
      <c r="F16" s="32">
        <f>SUM(F13:F15)</f>
        <v>14355</v>
      </c>
    </row>
    <row r="17" spans="5:6" ht="15" thickBot="1" x14ac:dyDescent="0.35">
      <c r="E17" s="11" t="s">
        <v>222</v>
      </c>
      <c r="F17" s="2">
        <f>SUM(H13:H15)</f>
        <v>3001.95</v>
      </c>
    </row>
    <row r="18" spans="5:6" ht="15.6" thickTop="1" thickBot="1" x14ac:dyDescent="0.35">
      <c r="E18" s="11" t="s">
        <v>223</v>
      </c>
      <c r="F18" s="33">
        <f>F16+F17</f>
        <v>17356.95</v>
      </c>
    </row>
    <row r="19" spans="5:6" ht="15" thickTop="1" x14ac:dyDescent="0.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40FC9-A2CF-4836-8250-63FD3FCE7E60}">
  <dimension ref="B2:G20"/>
  <sheetViews>
    <sheetView showGridLines="0" tabSelected="1" workbookViewId="0">
      <selection activeCell="A22" sqref="A22"/>
    </sheetView>
  </sheetViews>
  <sheetFormatPr defaultRowHeight="14.4" x14ac:dyDescent="0.3"/>
  <cols>
    <col min="2" max="2" width="11.77734375" customWidth="1"/>
    <col min="3" max="3" width="7.77734375" customWidth="1"/>
    <col min="4" max="4" width="20.77734375" customWidth="1"/>
    <col min="5" max="5" width="12.77734375" customWidth="1"/>
    <col min="6" max="7" width="10.77734375" customWidth="1"/>
  </cols>
  <sheetData>
    <row r="2" spans="2:7" ht="18" x14ac:dyDescent="0.3">
      <c r="B2" s="24" t="s">
        <v>207</v>
      </c>
      <c r="E2" s="43" t="s">
        <v>245</v>
      </c>
      <c r="F2" s="43">
        <v>2</v>
      </c>
    </row>
    <row r="4" spans="2:7" x14ac:dyDescent="0.3">
      <c r="B4" s="11" t="s">
        <v>224</v>
      </c>
      <c r="D4" s="4">
        <v>25</v>
      </c>
    </row>
    <row r="5" spans="2:7" x14ac:dyDescent="0.3">
      <c r="B5" s="11" t="s">
        <v>225</v>
      </c>
      <c r="D5" s="4" t="s">
        <v>239</v>
      </c>
    </row>
    <row r="6" spans="2:7" x14ac:dyDescent="0.3">
      <c r="B6" s="11" t="s">
        <v>226</v>
      </c>
      <c r="D6" s="4" t="s">
        <v>240</v>
      </c>
    </row>
    <row r="7" spans="2:7" x14ac:dyDescent="0.3">
      <c r="B7" s="11" t="s">
        <v>15</v>
      </c>
      <c r="D7" s="4" t="s">
        <v>241</v>
      </c>
    </row>
    <row r="8" spans="2:7" x14ac:dyDescent="0.3">
      <c r="B8" s="11" t="s">
        <v>227</v>
      </c>
      <c r="D8" s="4" t="s">
        <v>242</v>
      </c>
    </row>
    <row r="9" spans="2:7" x14ac:dyDescent="0.3">
      <c r="B9" s="11" t="s">
        <v>228</v>
      </c>
      <c r="D9" s="4" t="s">
        <v>243</v>
      </c>
    </row>
    <row r="10" spans="2:7" x14ac:dyDescent="0.3">
      <c r="B10" s="11" t="s">
        <v>12</v>
      </c>
      <c r="D10" s="35" t="s">
        <v>244</v>
      </c>
    </row>
    <row r="12" spans="2:7" x14ac:dyDescent="0.3">
      <c r="D12" s="11" t="s">
        <v>229</v>
      </c>
      <c r="E12" s="36">
        <v>45913</v>
      </c>
    </row>
    <row r="13" spans="2:7" ht="15" thickBot="1" x14ac:dyDescent="0.35"/>
    <row r="14" spans="2:7" ht="15.6" thickTop="1" thickBot="1" x14ac:dyDescent="0.35">
      <c r="B14" s="37" t="s">
        <v>97</v>
      </c>
      <c r="C14" s="37" t="s">
        <v>59</v>
      </c>
      <c r="D14" s="38" t="s">
        <v>230</v>
      </c>
      <c r="E14" s="38" t="s">
        <v>231</v>
      </c>
      <c r="F14" s="38" t="s">
        <v>58</v>
      </c>
      <c r="G14" s="38" t="s">
        <v>162</v>
      </c>
    </row>
    <row r="15" spans="2:7" ht="15" thickTop="1" x14ac:dyDescent="0.3">
      <c r="B15" s="5">
        <v>45964</v>
      </c>
      <c r="C15">
        <v>3</v>
      </c>
      <c r="D15" t="s">
        <v>232</v>
      </c>
      <c r="E15" t="s">
        <v>237</v>
      </c>
      <c r="F15" s="1">
        <v>6.5</v>
      </c>
      <c r="G15" s="2">
        <f>C15*F15</f>
        <v>19.5</v>
      </c>
    </row>
    <row r="16" spans="2:7" x14ac:dyDescent="0.3">
      <c r="B16" s="5">
        <v>45965</v>
      </c>
      <c r="C16">
        <v>3</v>
      </c>
      <c r="D16" t="s">
        <v>233</v>
      </c>
      <c r="E16" t="s">
        <v>238</v>
      </c>
      <c r="F16" s="1">
        <v>7</v>
      </c>
      <c r="G16" s="2">
        <f t="shared" ref="G16:G19" si="0">C16*F16</f>
        <v>21</v>
      </c>
    </row>
    <row r="17" spans="2:7" x14ac:dyDescent="0.3">
      <c r="B17" s="5">
        <v>45980</v>
      </c>
      <c r="C17">
        <v>1</v>
      </c>
      <c r="D17" t="s">
        <v>234</v>
      </c>
      <c r="E17" t="s">
        <v>237</v>
      </c>
      <c r="F17" s="1">
        <v>7.5</v>
      </c>
      <c r="G17" s="2">
        <f t="shared" si="0"/>
        <v>7.5</v>
      </c>
    </row>
    <row r="18" spans="2:7" x14ac:dyDescent="0.3">
      <c r="B18" s="5">
        <v>45986</v>
      </c>
      <c r="C18">
        <v>2</v>
      </c>
      <c r="D18" t="s">
        <v>235</v>
      </c>
      <c r="E18" t="s">
        <v>238</v>
      </c>
      <c r="F18" s="1">
        <v>8</v>
      </c>
      <c r="G18" s="2">
        <f t="shared" si="0"/>
        <v>16</v>
      </c>
    </row>
    <row r="19" spans="2:7" ht="15" thickBot="1" x14ac:dyDescent="0.35">
      <c r="B19" s="5">
        <v>45992</v>
      </c>
      <c r="C19">
        <v>1</v>
      </c>
      <c r="D19" t="s">
        <v>236</v>
      </c>
      <c r="E19" t="s">
        <v>237</v>
      </c>
      <c r="F19" s="1">
        <v>9</v>
      </c>
      <c r="G19" s="2">
        <f t="shared" si="0"/>
        <v>9</v>
      </c>
    </row>
    <row r="20" spans="2:7" ht="15" thickTop="1" x14ac:dyDescent="0.3">
      <c r="B20" s="39" t="s">
        <v>163</v>
      </c>
      <c r="C20" s="40">
        <f>SUM(C15:C19)</f>
        <v>10</v>
      </c>
      <c r="D20" s="41"/>
      <c r="E20" s="41"/>
      <c r="F20" s="41"/>
      <c r="G20" s="42">
        <f>SUM(G15:G19)</f>
        <v>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4A34-369E-485A-A7E3-7051141BA731}">
  <dimension ref="B2:E6"/>
  <sheetViews>
    <sheetView workbookViewId="0">
      <selection activeCell="B2" sqref="B2:E6"/>
    </sheetView>
  </sheetViews>
  <sheetFormatPr defaultRowHeight="14.4" x14ac:dyDescent="0.3"/>
  <cols>
    <col min="2" max="2" width="12.77734375" customWidth="1"/>
    <col min="3" max="3" width="11.77734375" customWidth="1"/>
    <col min="4" max="4" width="8.77734375" customWidth="1"/>
    <col min="5" max="5" width="10.77734375" customWidth="1"/>
  </cols>
  <sheetData>
    <row r="2" spans="2:5" x14ac:dyDescent="0.3">
      <c r="B2" s="11" t="s">
        <v>198</v>
      </c>
      <c r="C2" s="11" t="s">
        <v>199</v>
      </c>
      <c r="D2" s="11" t="s">
        <v>54</v>
      </c>
      <c r="E2" s="11" t="s">
        <v>179</v>
      </c>
    </row>
    <row r="3" spans="2:5" x14ac:dyDescent="0.3">
      <c r="B3" t="s">
        <v>200</v>
      </c>
      <c r="C3">
        <v>17</v>
      </c>
      <c r="D3" t="s">
        <v>202</v>
      </c>
      <c r="E3" t="s">
        <v>154</v>
      </c>
    </row>
    <row r="4" spans="2:5" x14ac:dyDescent="0.3">
      <c r="B4" t="s">
        <v>201</v>
      </c>
      <c r="C4">
        <v>110</v>
      </c>
      <c r="D4" t="s">
        <v>203</v>
      </c>
      <c r="E4" t="s">
        <v>154</v>
      </c>
    </row>
    <row r="5" spans="2:5" x14ac:dyDescent="0.3">
      <c r="B5" t="s">
        <v>201</v>
      </c>
      <c r="C5">
        <v>1</v>
      </c>
      <c r="D5" t="s">
        <v>204</v>
      </c>
      <c r="E5" t="s">
        <v>154</v>
      </c>
    </row>
    <row r="6" spans="2:5" x14ac:dyDescent="0.3">
      <c r="B6" t="s">
        <v>200</v>
      </c>
      <c r="C6">
        <v>17</v>
      </c>
      <c r="D6" t="s">
        <v>205</v>
      </c>
      <c r="E6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12</vt:i4>
      </vt:variant>
    </vt:vector>
  </HeadingPairs>
  <TitlesOfParts>
    <vt:vector size="12" baseType="lpstr">
      <vt:lpstr>Verschoor</vt:lpstr>
      <vt:lpstr>animal_clinic</vt:lpstr>
      <vt:lpstr>norm001</vt:lpstr>
      <vt:lpstr>norm003</vt:lpstr>
      <vt:lpstr>norm004</vt:lpstr>
      <vt:lpstr>norm006</vt:lpstr>
      <vt:lpstr>norm010</vt:lpstr>
      <vt:lpstr>norm011</vt:lpstr>
      <vt:lpstr>norm012</vt:lpstr>
      <vt:lpstr>norm013</vt:lpstr>
      <vt:lpstr>norm014</vt:lpstr>
      <vt:lpstr>norm016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Welman</dc:creator>
  <cp:lastModifiedBy>Ben Welman</cp:lastModifiedBy>
  <dcterms:created xsi:type="dcterms:W3CDTF">2026-10-14T09:12:38Z</dcterms:created>
  <dcterms:modified xsi:type="dcterms:W3CDTF">2026-10-14T20:40:45Z</dcterms:modified>
</cp:coreProperties>
</file>